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phereenvironmental-my.sharepoint.com/personal/adam_geosphere-environmental_co_uk/Documents/Documents/Template Masters/"/>
    </mc:Choice>
  </mc:AlternateContent>
  <xr:revisionPtr revIDLastSave="24" documentId="8_{5D54FE05-7D47-43CD-8DDD-DC3B503F580C}" xr6:coauthVersionLast="47" xr6:coauthVersionMax="47" xr10:uidLastSave="{6AF9E6F7-A2B9-4A12-9373-F5AC04A6B3B2}"/>
  <bookViews>
    <workbookView xWindow="-120" yWindow="-120" windowWidth="29040" windowHeight="15720" xr2:uid="{21C8049A-945A-4E34-84A9-6154E0E02EAB}"/>
  </bookViews>
  <sheets>
    <sheet name="Sheet1" sheetId="1" r:id="rId1"/>
  </sheets>
  <definedNames>
    <definedName name="_xlnm.Print_Area" localSheetId="0">Sheet1!$B$2:$N$47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6" i="1" l="1"/>
  <c r="K26" i="1"/>
  <c r="L16" i="1"/>
  <c r="L20" i="1"/>
  <c r="L21" i="1"/>
  <c r="L22" i="1"/>
  <c r="L23" i="1"/>
  <c r="L24" i="1"/>
  <c r="K19" i="1"/>
  <c r="K20" i="1"/>
  <c r="K21" i="1"/>
  <c r="K22" i="1"/>
  <c r="K23" i="1"/>
  <c r="K24" i="1"/>
  <c r="J19" i="1"/>
  <c r="J20" i="1"/>
  <c r="J21" i="1"/>
  <c r="J22" i="1"/>
  <c r="J23" i="1"/>
  <c r="J24" i="1"/>
  <c r="I19" i="1"/>
  <c r="L19" i="1" s="1"/>
  <c r="I20" i="1"/>
  <c r="I21" i="1"/>
  <c r="I22" i="1"/>
  <c r="I23" i="1"/>
  <c r="I24" i="1"/>
  <c r="I15" i="1" l="1"/>
  <c r="I18" i="1"/>
  <c r="J17" i="1"/>
  <c r="J18" i="1"/>
  <c r="I17" i="1"/>
  <c r="I16" i="1"/>
  <c r="J16" i="1"/>
  <c r="J15" i="1"/>
  <c r="H15" i="1"/>
  <c r="H16" i="1" s="1"/>
  <c r="H17" i="1" s="1"/>
  <c r="H18" i="1" s="1"/>
  <c r="H19" i="1" s="1"/>
  <c r="H20" i="1" s="1"/>
  <c r="H21" i="1" s="1"/>
  <c r="H22" i="1" s="1"/>
  <c r="H23" i="1" s="1"/>
  <c r="H24" i="1" s="1"/>
  <c r="L15" i="1" l="1"/>
  <c r="K15" i="1"/>
  <c r="L18" i="1"/>
  <c r="K17" i="1"/>
  <c r="K16" i="1"/>
  <c r="M16" i="1"/>
  <c r="M17" i="1" s="1"/>
  <c r="M18" i="1" s="1"/>
  <c r="M19" i="1" s="1"/>
  <c r="M20" i="1" s="1"/>
  <c r="M21" i="1" s="1"/>
  <c r="M22" i="1" s="1"/>
  <c r="M23" i="1" s="1"/>
  <c r="M24" i="1" s="1"/>
  <c r="K18" i="1" l="1"/>
  <c r="L17" i="1"/>
  <c r="P16" i="1" l="1"/>
  <c r="P23" i="1"/>
  <c r="P20" i="1"/>
  <c r="P24" i="1"/>
  <c r="P15" i="1"/>
  <c r="P21" i="1"/>
  <c r="P19" i="1"/>
  <c r="P18" i="1"/>
  <c r="P17" i="1"/>
  <c r="P22" i="1"/>
</calcChain>
</file>

<file path=xl/sharedStrings.xml><?xml version="1.0" encoding="utf-8"?>
<sst xmlns="http://schemas.openxmlformats.org/spreadsheetml/2006/main" count="51" uniqueCount="47">
  <si>
    <t>A</t>
  </si>
  <si>
    <t>B</t>
  </si>
  <si>
    <t>C</t>
  </si>
  <si>
    <t>D</t>
  </si>
  <si>
    <t>E</t>
  </si>
  <si>
    <t>F</t>
  </si>
  <si>
    <t>G</t>
  </si>
  <si>
    <t>H</t>
  </si>
  <si>
    <t>Time</t>
  </si>
  <si>
    <t>Water Level</t>
  </si>
  <si>
    <t>Time Interval</t>
  </si>
  <si>
    <t>Infiltration</t>
  </si>
  <si>
    <t>Infiltration Capacity</t>
  </si>
  <si>
    <t>Cumulative Infiltration</t>
  </si>
  <si>
    <t>mm</t>
  </si>
  <si>
    <t>min</t>
  </si>
  <si>
    <t>Before Filling
Reading</t>
  </si>
  <si>
    <t>After Filling
Reading</t>
  </si>
  <si>
    <t>Determine From A</t>
  </si>
  <si>
    <t>Determine From B</t>
  </si>
  <si>
    <t>mm/min</t>
  </si>
  <si>
    <t>Determine From D &amp; E</t>
  </si>
  <si>
    <t>m/s</t>
  </si>
  <si>
    <t>Determine From E</t>
  </si>
  <si>
    <t>Cumulative Time</t>
  </si>
  <si>
    <t>DOUBLE RING INFILTROMETER TEST</t>
  </si>
  <si>
    <t>Run</t>
  </si>
  <si>
    <t xml:space="preserve">Project Name: </t>
  </si>
  <si>
    <t>Test Date:</t>
  </si>
  <si>
    <t>Average Infiltration Capacity 
(Cells Highlighted Orange)</t>
  </si>
  <si>
    <t>Trendline</t>
  </si>
  <si>
    <t>USER GUIDE</t>
  </si>
  <si>
    <t>1. Add times elapsed since first run in hours minutes and seconds (Column A)</t>
  </si>
  <si>
    <t>2. Add before and after depths in millimetres. (Column B)</t>
  </si>
  <si>
    <t xml:space="preserve">5. Format graph axis to ensure the maximum bound includes the full cumulative time. </t>
  </si>
  <si>
    <t>4. Highlight the cells included in the average range in orange. (Columns F/G)</t>
  </si>
  <si>
    <t>3. Adjust the range for average infiltration capcity in Cell 35  to include the runs where the infiltration reached a constant value, with changes of less than approximately 10%.  (Columns F/G)</t>
  </si>
  <si>
    <t>cm</t>
  </si>
  <si>
    <t>After Filling Time</t>
  </si>
  <si>
    <t>Undertaken by:</t>
  </si>
  <si>
    <t>Checked By:</t>
  </si>
  <si>
    <t>Calculate from F</t>
  </si>
  <si>
    <t>hour min</t>
  </si>
  <si>
    <t>what3words:</t>
  </si>
  <si>
    <t>Location Ref:</t>
  </si>
  <si>
    <t>Project No:</t>
  </si>
  <si>
    <t>Before Filling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</si>
</sst>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14"/>
      <color rgb="FFFFC000"/>
      <name val="Verdana"/>
      <family val="2"/>
    </font>
    <font>
      <sz val="8"/>
      <color theme="1"/>
      <name val="Aptos Narrow"/>
      <family val="2"/>
      <scheme val="minor"/>
    </font>
    <font>
      <b/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2" fontId="1" fillId="2" borderId="0" xfId="0" applyNumberFormat="1" applyFont="1" applyFill="1" applyAlignment="1">
      <alignment horizontal="center"/>
    </xf>
    <xf numFmtId="11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1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2" fontId="1" fillId="3" borderId="0" xfId="0" applyNumberFormat="1" applyFont="1" applyFill="1"/>
    <xf numFmtId="164" fontId="1" fillId="3" borderId="0" xfId="0" applyNumberFormat="1" applyFont="1" applyFill="1"/>
    <xf numFmtId="14" fontId="1" fillId="3" borderId="0" xfId="0" applyNumberFormat="1" applyFont="1" applyFill="1" applyAlignment="1">
      <alignment horizontal="left"/>
    </xf>
    <xf numFmtId="0" fontId="3" fillId="3" borderId="0" xfId="0" applyFont="1" applyFill="1"/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 wrapText="1"/>
    </xf>
    <xf numFmtId="11" fontId="1" fillId="3" borderId="1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/>
    <xf numFmtId="164" fontId="4" fillId="3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11" fontId="1" fillId="4" borderId="1" xfId="0" applyNumberFormat="1" applyFont="1" applyFill="1" applyBorder="1" applyAlignment="1">
      <alignment horizontal="center" vertical="center"/>
    </xf>
    <xf numFmtId="1" fontId="0" fillId="3" borderId="0" xfId="0" applyNumberFormat="1" applyFill="1"/>
    <xf numFmtId="1" fontId="1" fillId="3" borderId="0" xfId="0" applyNumberFormat="1" applyFont="1" applyFill="1"/>
    <xf numFmtId="1" fontId="4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/>
    <xf numFmtId="1" fontId="0" fillId="2" borderId="0" xfId="0" applyNumberFormat="1" applyFill="1"/>
    <xf numFmtId="0" fontId="0" fillId="2" borderId="0" xfId="0" applyFill="1" applyAlignment="1">
      <alignment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3" borderId="0" xfId="0" applyNumberFormat="1" applyFill="1"/>
    <xf numFmtId="165" fontId="1" fillId="3" borderId="0" xfId="0" applyNumberFormat="1" applyFont="1" applyFill="1"/>
    <xf numFmtId="165" fontId="3" fillId="3" borderId="0" xfId="0" applyNumberFormat="1" applyFont="1" applyFill="1"/>
    <xf numFmtId="165" fontId="0" fillId="2" borderId="0" xfId="0" applyNumberForma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/>
    <xf numFmtId="1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Sheet1!$H$15:$H$18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Sheet1!$K$15:$K$18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57-44E2-B2BA-7161F59B9D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Sheet1!$M$15:$M$18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Sheet1!$P$15:$P$18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CC-42C8-B7E8-A49EDD800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767776"/>
        <c:axId val="115777967"/>
      </c:scatterChart>
      <c:valAx>
        <c:axId val="1472767776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7967"/>
        <c:crosses val="autoZero"/>
        <c:crossBetween val="midCat"/>
      </c:valAx>
      <c:valAx>
        <c:axId val="115777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Infiltration Capacity (mm/min)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6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803082</xdr:colOff>
      <xdr:row>2</xdr:row>
      <xdr:rowOff>190831</xdr:rowOff>
    </xdr:from>
    <xdr:to>
      <xdr:col>12</xdr:col>
      <xdr:colOff>732811</xdr:colOff>
      <xdr:row>6</xdr:row>
      <xdr:rowOff>98645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E8E2A8B-4BF7-3641-FBA3-E1284E00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75212" y="571831"/>
          <a:ext cx="1234440" cy="707417"/>
        </a:xfrm>
        <a:prstGeom prst="rect">
          <a:avLst/>
        </a:prstGeom>
      </xdr:spPr>
    </xdr:pic>
    <xdr:clientData/>
  </xdr:twoCellAnchor>
  <xdr:twoCellAnchor>
    <xdr:from>
      <xdr:col>2</xdr:col>
      <xdr:colOff>167926</xdr:colOff>
      <xdr:row>26</xdr:row>
      <xdr:rowOff>90486</xdr:rowOff>
    </xdr:from>
    <xdr:to>
      <xdr:col>13</xdr:col>
      <xdr:colOff>66260</xdr:colOff>
      <xdr:row>45</xdr:row>
      <xdr:rowOff>107674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73FEC1-C00A-C7F3-D3D8-A6A80B023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CBBE-4BC6-4863-9EB8-83B9D64C0E5E}">
  <sheetPr>
    <pageSetUpPr fitToPage="1"/>
  </sheetPr>
  <dimension ref="B2:R72"/>
  <sheetViews>
    <sheetView tabSelected="1" zoomScaleNormal="100" zoomScaleSheetLayoutView="100" workbookViewId="0">
      <selection activeCell="L27" sqref="L27"/>
    </sheetView>
  </sheetViews>
  <sheetFormatPr defaultColWidth="9.140625" defaultRowHeight="15" x14ac:dyDescent="0.25"/>
  <cols>
    <col min="1" max="1" width="11" style="1" customWidth="1"/>
    <col min="2" max="2" width="6.7109375" style="1" customWidth="1"/>
    <col min="3" max="3" width="15.28515625" style="1" customWidth="1"/>
    <col min="4" max="4" width="12.5703125" style="9" customWidth="1"/>
    <col min="5" max="5" width="11" style="9" customWidth="1"/>
    <col min="6" max="6" width="11.7109375" style="44" customWidth="1"/>
    <col min="7" max="7" width="10.28515625" style="44" customWidth="1"/>
    <col min="8" max="8" width="17" style="38" customWidth="1"/>
    <col min="9" max="9" width="15.7109375" style="38" customWidth="1"/>
    <col min="10" max="10" width="12" style="38" customWidth="1"/>
    <col min="11" max="11" width="18.42578125" style="2" customWidth="1"/>
    <col min="12" max="12" width="19.42578125" style="3" customWidth="1"/>
    <col min="13" max="13" width="22" style="38" customWidth="1"/>
    <col min="14" max="14" width="13" style="1" customWidth="1"/>
    <col min="15" max="17" width="9.140625" style="1"/>
    <col min="18" max="18" width="106" style="1" customWidth="1"/>
    <col min="19" max="16384" width="9.140625" style="1"/>
  </cols>
  <sheetData>
    <row r="2" spans="2:18" x14ac:dyDescent="0.25">
      <c r="B2" s="11"/>
      <c r="C2" s="11"/>
      <c r="D2" s="12"/>
      <c r="E2" s="12"/>
      <c r="F2" s="41"/>
      <c r="G2" s="41"/>
      <c r="H2" s="32"/>
      <c r="I2" s="32"/>
      <c r="J2" s="32"/>
      <c r="K2" s="13"/>
      <c r="L2" s="14"/>
      <c r="M2" s="32"/>
      <c r="N2" s="11"/>
    </row>
    <row r="3" spans="2:18" ht="18" x14ac:dyDescent="0.25">
      <c r="B3" s="11"/>
      <c r="C3" s="15" t="s">
        <v>25</v>
      </c>
      <c r="D3" s="16"/>
      <c r="E3" s="16"/>
      <c r="F3" s="42"/>
      <c r="G3" s="41"/>
      <c r="H3" s="33"/>
      <c r="I3" s="33"/>
      <c r="J3" s="33"/>
      <c r="K3" s="13"/>
      <c r="L3" s="14"/>
      <c r="M3" s="33"/>
      <c r="N3" s="11"/>
    </row>
    <row r="4" spans="2:18" x14ac:dyDescent="0.25">
      <c r="B4" s="11"/>
      <c r="C4" s="17"/>
      <c r="D4" s="16"/>
      <c r="E4" s="16"/>
      <c r="F4" s="42"/>
      <c r="G4" s="41"/>
      <c r="H4" s="33"/>
      <c r="I4" s="33"/>
      <c r="J4" s="33"/>
      <c r="K4" s="13"/>
      <c r="L4" s="14"/>
      <c r="M4" s="33"/>
      <c r="N4" s="11"/>
    </row>
    <row r="5" spans="2:18" x14ac:dyDescent="0.25">
      <c r="B5" s="11"/>
      <c r="C5" s="24" t="s">
        <v>45</v>
      </c>
      <c r="D5" s="16"/>
      <c r="E5" s="16"/>
      <c r="F5" s="42"/>
      <c r="G5" s="41"/>
      <c r="H5" s="32"/>
      <c r="I5" s="46" t="s">
        <v>39</v>
      </c>
      <c r="J5" s="33"/>
      <c r="K5" s="13"/>
      <c r="L5" s="14"/>
      <c r="M5" s="33"/>
      <c r="N5" s="11"/>
    </row>
    <row r="6" spans="2:18" x14ac:dyDescent="0.25">
      <c r="B6" s="11"/>
      <c r="C6" s="24" t="s">
        <v>27</v>
      </c>
      <c r="D6" s="16"/>
      <c r="E6" s="16"/>
      <c r="F6" s="42"/>
      <c r="G6" s="41"/>
      <c r="H6" s="32"/>
      <c r="I6" s="46" t="s">
        <v>40</v>
      </c>
      <c r="J6" s="33"/>
      <c r="K6" s="13"/>
      <c r="L6" s="14"/>
      <c r="M6" s="33"/>
      <c r="N6" s="11"/>
    </row>
    <row r="7" spans="2:18" x14ac:dyDescent="0.25">
      <c r="B7" s="11"/>
      <c r="C7" s="24" t="s">
        <v>28</v>
      </c>
      <c r="D7" s="18"/>
      <c r="E7" s="18"/>
      <c r="F7" s="42"/>
      <c r="G7" s="41"/>
      <c r="H7" s="33"/>
      <c r="I7" s="33"/>
      <c r="J7" s="33"/>
      <c r="K7" s="13"/>
      <c r="L7" s="14"/>
      <c r="M7" s="33"/>
      <c r="N7" s="11"/>
    </row>
    <row r="8" spans="2:18" x14ac:dyDescent="0.25">
      <c r="B8" s="11"/>
      <c r="C8" s="24" t="s">
        <v>44</v>
      </c>
      <c r="D8" s="16"/>
      <c r="E8" s="16"/>
      <c r="F8" s="42"/>
      <c r="G8" s="41"/>
      <c r="H8" s="33"/>
      <c r="I8" s="33"/>
      <c r="J8" s="33"/>
      <c r="K8" s="13"/>
      <c r="L8" s="14"/>
      <c r="M8" s="33"/>
      <c r="N8" s="11"/>
    </row>
    <row r="9" spans="2:18" x14ac:dyDescent="0.25">
      <c r="B9" s="11"/>
      <c r="C9" s="24" t="s">
        <v>43</v>
      </c>
      <c r="D9" s="16"/>
      <c r="E9" s="16"/>
      <c r="F9" s="42"/>
      <c r="G9" s="41"/>
      <c r="H9" s="33"/>
      <c r="I9" s="33"/>
      <c r="J9" s="33"/>
      <c r="K9" s="13"/>
      <c r="L9" s="14"/>
      <c r="M9" s="33"/>
      <c r="N9" s="11"/>
    </row>
    <row r="10" spans="2:18" x14ac:dyDescent="0.25">
      <c r="B10" s="11"/>
      <c r="C10" s="19"/>
      <c r="D10" s="17"/>
      <c r="E10" s="17"/>
      <c r="F10" s="42"/>
      <c r="G10" s="42"/>
      <c r="H10" s="33"/>
      <c r="I10" s="33"/>
      <c r="J10" s="33"/>
      <c r="K10" s="13"/>
      <c r="L10" s="14"/>
      <c r="M10" s="33"/>
      <c r="N10" s="11"/>
    </row>
    <row r="11" spans="2:18" x14ac:dyDescent="0.25">
      <c r="B11" s="11"/>
      <c r="C11" s="25">
        <v>0</v>
      </c>
      <c r="D11" s="53" t="s">
        <v>0</v>
      </c>
      <c r="E11" s="54"/>
      <c r="F11" s="47" t="s">
        <v>1</v>
      </c>
      <c r="G11" s="47"/>
      <c r="H11" s="34" t="s">
        <v>2</v>
      </c>
      <c r="I11" s="34" t="s">
        <v>3</v>
      </c>
      <c r="J11" s="34" t="s">
        <v>4</v>
      </c>
      <c r="K11" s="26" t="s">
        <v>5</v>
      </c>
      <c r="L11" s="27" t="s">
        <v>6</v>
      </c>
      <c r="M11" s="34" t="s">
        <v>7</v>
      </c>
      <c r="N11" s="11"/>
    </row>
    <row r="12" spans="2:18" ht="13.15" customHeight="1" x14ac:dyDescent="0.25">
      <c r="B12" s="11"/>
      <c r="C12" s="48" t="s">
        <v>26</v>
      </c>
      <c r="D12" s="53" t="s">
        <v>8</v>
      </c>
      <c r="E12" s="54"/>
      <c r="F12" s="47" t="s">
        <v>9</v>
      </c>
      <c r="G12" s="47"/>
      <c r="H12" s="34" t="s">
        <v>24</v>
      </c>
      <c r="I12" s="34" t="s">
        <v>10</v>
      </c>
      <c r="J12" s="34" t="s">
        <v>11</v>
      </c>
      <c r="K12" s="26" t="s">
        <v>12</v>
      </c>
      <c r="L12" s="27" t="s">
        <v>12</v>
      </c>
      <c r="M12" s="34" t="s">
        <v>13</v>
      </c>
      <c r="N12" s="11"/>
    </row>
    <row r="13" spans="2:18" ht="13.15" customHeight="1" x14ac:dyDescent="0.25">
      <c r="B13" s="11"/>
      <c r="C13" s="49"/>
      <c r="D13" s="55" t="s">
        <v>42</v>
      </c>
      <c r="E13" s="56"/>
      <c r="F13" s="57" t="s">
        <v>37</v>
      </c>
      <c r="G13" s="58"/>
      <c r="H13" s="35" t="s">
        <v>15</v>
      </c>
      <c r="I13" s="35" t="s">
        <v>15</v>
      </c>
      <c r="J13" s="35" t="s">
        <v>14</v>
      </c>
      <c r="K13" s="4" t="s">
        <v>20</v>
      </c>
      <c r="L13" s="5" t="s">
        <v>22</v>
      </c>
      <c r="M13" s="35" t="s">
        <v>14</v>
      </c>
      <c r="N13" s="11"/>
    </row>
    <row r="14" spans="2:18" ht="48.2" customHeight="1" x14ac:dyDescent="0.25">
      <c r="B14" s="11"/>
      <c r="C14" s="50"/>
      <c r="D14" s="6" t="s">
        <v>46</v>
      </c>
      <c r="E14" s="6" t="s">
        <v>38</v>
      </c>
      <c r="F14" s="40" t="s">
        <v>16</v>
      </c>
      <c r="G14" s="40" t="s">
        <v>17</v>
      </c>
      <c r="H14" s="36" t="s">
        <v>18</v>
      </c>
      <c r="I14" s="36" t="s">
        <v>18</v>
      </c>
      <c r="J14" s="36" t="s">
        <v>19</v>
      </c>
      <c r="K14" s="7" t="s">
        <v>21</v>
      </c>
      <c r="L14" s="8" t="s">
        <v>41</v>
      </c>
      <c r="M14" s="36" t="s">
        <v>23</v>
      </c>
      <c r="N14" s="11"/>
      <c r="P14" s="1" t="s">
        <v>30</v>
      </c>
    </row>
    <row r="15" spans="2:18" x14ac:dyDescent="0.25">
      <c r="B15" s="11"/>
      <c r="C15" s="20">
        <v>1</v>
      </c>
      <c r="D15" s="6"/>
      <c r="E15" s="6"/>
      <c r="F15" s="40"/>
      <c r="G15" s="40"/>
      <c r="H15" s="45">
        <f>(E15-D$15)*1440</f>
        <v>0</v>
      </c>
      <c r="I15" s="45">
        <f>(E15-D15)*1440</f>
        <v>0</v>
      </c>
      <c r="J15" s="45">
        <f>(G15-F15)*10</f>
        <v>0</v>
      </c>
      <c r="K15" s="21" t="e">
        <f>J15/I15</f>
        <v>#DIV/0!</v>
      </c>
      <c r="L15" s="22" t="e">
        <f>(J15/1000)/(I15*60)</f>
        <v>#DIV/0!</v>
      </c>
      <c r="M15" s="45">
        <v>0</v>
      </c>
      <c r="N15" s="11"/>
      <c r="P15" s="10" t="e">
        <f t="shared" ref="P15:P24" si="0">K$26</f>
        <v>#DIV/0!</v>
      </c>
      <c r="R15" s="1" t="s">
        <v>31</v>
      </c>
    </row>
    <row r="16" spans="2:18" x14ac:dyDescent="0.25">
      <c r="B16" s="11"/>
      <c r="C16" s="20">
        <v>2</v>
      </c>
      <c r="D16" s="6"/>
      <c r="E16" s="6"/>
      <c r="F16" s="40"/>
      <c r="G16" s="40"/>
      <c r="H16" s="45">
        <f>((E16-D16)*1440)+H15</f>
        <v>0</v>
      </c>
      <c r="I16" s="45">
        <f>(E16-D16)*1440</f>
        <v>0</v>
      </c>
      <c r="J16" s="45">
        <f>(G16-F16)*10</f>
        <v>0</v>
      </c>
      <c r="K16" s="28" t="e">
        <f>J16/I16</f>
        <v>#DIV/0!</v>
      </c>
      <c r="L16" s="29" t="e">
        <f>(J16/1000)/(I16*60)</f>
        <v>#DIV/0!</v>
      </c>
      <c r="M16" s="45">
        <f>M15+J16</f>
        <v>0</v>
      </c>
      <c r="N16" s="11"/>
      <c r="P16" s="10" t="e">
        <f t="shared" si="0"/>
        <v>#DIV/0!</v>
      </c>
      <c r="R16" s="1" t="s">
        <v>32</v>
      </c>
    </row>
    <row r="17" spans="2:18" x14ac:dyDescent="0.25">
      <c r="B17" s="11"/>
      <c r="C17" s="20">
        <v>3</v>
      </c>
      <c r="D17" s="6"/>
      <c r="E17" s="6"/>
      <c r="F17" s="40"/>
      <c r="G17" s="40"/>
      <c r="H17" s="45">
        <f t="shared" ref="H17:H24" si="1">((E17-D17)*1440)+H16</f>
        <v>0</v>
      </c>
      <c r="I17" s="45">
        <f t="shared" ref="I17" si="2">(E17-D17)*1440</f>
        <v>0</v>
      </c>
      <c r="J17" s="45">
        <f t="shared" ref="J17:J24" si="3">(G17-F17)*10</f>
        <v>0</v>
      </c>
      <c r="K17" s="28" t="e">
        <f t="shared" ref="K17:K24" si="4">J17/I17</f>
        <v>#DIV/0!</v>
      </c>
      <c r="L17" s="29" t="e">
        <f t="shared" ref="L17:L24" si="5">(J17/1000)/(I17*60)</f>
        <v>#DIV/0!</v>
      </c>
      <c r="M17" s="45">
        <f t="shared" ref="M17:M24" si="6">M16+J17</f>
        <v>0</v>
      </c>
      <c r="N17" s="11"/>
      <c r="P17" s="10" t="e">
        <f t="shared" si="0"/>
        <v>#DIV/0!</v>
      </c>
      <c r="R17" s="1" t="s">
        <v>33</v>
      </c>
    </row>
    <row r="18" spans="2:18" x14ac:dyDescent="0.25">
      <c r="B18" s="11"/>
      <c r="C18" s="20">
        <v>4</v>
      </c>
      <c r="D18" s="6"/>
      <c r="E18" s="6"/>
      <c r="F18" s="40"/>
      <c r="G18" s="40"/>
      <c r="H18" s="45">
        <f t="shared" si="1"/>
        <v>0</v>
      </c>
      <c r="I18" s="45">
        <f>(E18-D18)*1440</f>
        <v>0</v>
      </c>
      <c r="J18" s="45">
        <f t="shared" si="3"/>
        <v>0</v>
      </c>
      <c r="K18" s="28" t="e">
        <f t="shared" si="4"/>
        <v>#DIV/0!</v>
      </c>
      <c r="L18" s="29" t="e">
        <f t="shared" si="5"/>
        <v>#DIV/0!</v>
      </c>
      <c r="M18" s="45">
        <f t="shared" si="6"/>
        <v>0</v>
      </c>
      <c r="N18" s="11"/>
      <c r="P18" s="10" t="e">
        <f t="shared" si="0"/>
        <v>#DIV/0!</v>
      </c>
      <c r="R18" s="1" t="s">
        <v>36</v>
      </c>
    </row>
    <row r="19" spans="2:18" x14ac:dyDescent="0.25">
      <c r="B19" s="11"/>
      <c r="C19" s="20">
        <v>5</v>
      </c>
      <c r="D19" s="6"/>
      <c r="E19" s="6"/>
      <c r="F19" s="40"/>
      <c r="G19" s="40"/>
      <c r="H19" s="45">
        <f t="shared" si="1"/>
        <v>0</v>
      </c>
      <c r="I19" s="45">
        <f t="shared" ref="I19:I24" si="7">(E19-D19)*1440</f>
        <v>0</v>
      </c>
      <c r="J19" s="45">
        <f t="shared" si="3"/>
        <v>0</v>
      </c>
      <c r="K19" s="28" t="e">
        <f t="shared" si="4"/>
        <v>#DIV/0!</v>
      </c>
      <c r="L19" s="29" t="e">
        <f t="shared" si="5"/>
        <v>#DIV/0!</v>
      </c>
      <c r="M19" s="45">
        <f t="shared" si="6"/>
        <v>0</v>
      </c>
      <c r="N19" s="11"/>
      <c r="P19" s="10" t="e">
        <f t="shared" si="0"/>
        <v>#DIV/0!</v>
      </c>
      <c r="R19" s="1" t="s">
        <v>35</v>
      </c>
    </row>
    <row r="20" spans="2:18" x14ac:dyDescent="0.25">
      <c r="B20" s="11"/>
      <c r="C20" s="20">
        <v>6</v>
      </c>
      <c r="D20" s="6"/>
      <c r="E20" s="6"/>
      <c r="F20" s="40"/>
      <c r="G20" s="40"/>
      <c r="H20" s="45">
        <f t="shared" si="1"/>
        <v>0</v>
      </c>
      <c r="I20" s="45">
        <f t="shared" si="7"/>
        <v>0</v>
      </c>
      <c r="J20" s="45">
        <f t="shared" si="3"/>
        <v>0</v>
      </c>
      <c r="K20" s="28" t="e">
        <f t="shared" si="4"/>
        <v>#DIV/0!</v>
      </c>
      <c r="L20" s="29" t="e">
        <f t="shared" si="5"/>
        <v>#DIV/0!</v>
      </c>
      <c r="M20" s="45">
        <f t="shared" si="6"/>
        <v>0</v>
      </c>
      <c r="N20" s="11"/>
      <c r="P20" s="10" t="e">
        <f t="shared" si="0"/>
        <v>#DIV/0!</v>
      </c>
      <c r="R20" s="39" t="s">
        <v>34</v>
      </c>
    </row>
    <row r="21" spans="2:18" x14ac:dyDescent="0.25">
      <c r="B21" s="11"/>
      <c r="C21" s="20">
        <v>7</v>
      </c>
      <c r="D21" s="6"/>
      <c r="E21" s="6"/>
      <c r="F21" s="40"/>
      <c r="G21" s="40"/>
      <c r="H21" s="45">
        <f t="shared" si="1"/>
        <v>0</v>
      </c>
      <c r="I21" s="45">
        <f t="shared" si="7"/>
        <v>0</v>
      </c>
      <c r="J21" s="45">
        <f t="shared" si="3"/>
        <v>0</v>
      </c>
      <c r="K21" s="28" t="e">
        <f t="shared" si="4"/>
        <v>#DIV/0!</v>
      </c>
      <c r="L21" s="29" t="e">
        <f t="shared" si="5"/>
        <v>#DIV/0!</v>
      </c>
      <c r="M21" s="45">
        <f t="shared" si="6"/>
        <v>0</v>
      </c>
      <c r="N21" s="11"/>
      <c r="P21" s="10" t="e">
        <f t="shared" si="0"/>
        <v>#DIV/0!</v>
      </c>
    </row>
    <row r="22" spans="2:18" x14ac:dyDescent="0.25">
      <c r="B22" s="11"/>
      <c r="C22" s="20">
        <v>8</v>
      </c>
      <c r="D22" s="6"/>
      <c r="E22" s="6"/>
      <c r="F22" s="40"/>
      <c r="G22" s="40"/>
      <c r="H22" s="45">
        <f t="shared" si="1"/>
        <v>0</v>
      </c>
      <c r="I22" s="45">
        <f t="shared" si="7"/>
        <v>0</v>
      </c>
      <c r="J22" s="45">
        <f t="shared" si="3"/>
        <v>0</v>
      </c>
      <c r="K22" s="28" t="e">
        <f t="shared" si="4"/>
        <v>#DIV/0!</v>
      </c>
      <c r="L22" s="29" t="e">
        <f t="shared" si="5"/>
        <v>#DIV/0!</v>
      </c>
      <c r="M22" s="45">
        <f t="shared" si="6"/>
        <v>0</v>
      </c>
      <c r="N22" s="11"/>
      <c r="P22" s="10" t="e">
        <f t="shared" si="0"/>
        <v>#DIV/0!</v>
      </c>
    </row>
    <row r="23" spans="2:18" x14ac:dyDescent="0.25">
      <c r="B23" s="11"/>
      <c r="C23" s="20">
        <v>9</v>
      </c>
      <c r="D23" s="6"/>
      <c r="E23" s="6"/>
      <c r="F23" s="40"/>
      <c r="G23" s="40"/>
      <c r="H23" s="45">
        <f t="shared" si="1"/>
        <v>0</v>
      </c>
      <c r="I23" s="45">
        <f t="shared" si="7"/>
        <v>0</v>
      </c>
      <c r="J23" s="45">
        <f t="shared" si="3"/>
        <v>0</v>
      </c>
      <c r="K23" s="28" t="e">
        <f t="shared" si="4"/>
        <v>#DIV/0!</v>
      </c>
      <c r="L23" s="29" t="e">
        <f t="shared" si="5"/>
        <v>#DIV/0!</v>
      </c>
      <c r="M23" s="45">
        <f t="shared" si="6"/>
        <v>0</v>
      </c>
      <c r="N23" s="11"/>
      <c r="P23" s="10" t="e">
        <f t="shared" si="0"/>
        <v>#DIV/0!</v>
      </c>
    </row>
    <row r="24" spans="2:18" x14ac:dyDescent="0.25">
      <c r="B24" s="11"/>
      <c r="C24" s="20">
        <v>10</v>
      </c>
      <c r="D24" s="6"/>
      <c r="E24" s="6"/>
      <c r="F24" s="40"/>
      <c r="G24" s="40"/>
      <c r="H24" s="45">
        <f t="shared" si="1"/>
        <v>0</v>
      </c>
      <c r="I24" s="45">
        <f t="shared" si="7"/>
        <v>0</v>
      </c>
      <c r="J24" s="45">
        <f t="shared" si="3"/>
        <v>0</v>
      </c>
      <c r="K24" s="28" t="e">
        <f t="shared" si="4"/>
        <v>#DIV/0!</v>
      </c>
      <c r="L24" s="29" t="e">
        <f t="shared" si="5"/>
        <v>#DIV/0!</v>
      </c>
      <c r="M24" s="45">
        <f t="shared" si="6"/>
        <v>0</v>
      </c>
      <c r="N24" s="11"/>
      <c r="P24" s="10" t="e">
        <f t="shared" si="0"/>
        <v>#DIV/0!</v>
      </c>
    </row>
    <row r="25" spans="2:18" x14ac:dyDescent="0.25">
      <c r="B25" s="11"/>
      <c r="C25" s="19"/>
      <c r="D25" s="23"/>
      <c r="E25" s="23"/>
      <c r="F25" s="43"/>
      <c r="G25" s="43"/>
      <c r="H25" s="37"/>
      <c r="I25" s="37"/>
      <c r="J25" s="37"/>
      <c r="K25" s="13"/>
      <c r="L25" s="14"/>
      <c r="M25" s="37"/>
      <c r="N25" s="11"/>
      <c r="P25" s="10"/>
    </row>
    <row r="26" spans="2:18" ht="29.25" customHeight="1" x14ac:dyDescent="0.25">
      <c r="B26" s="11"/>
      <c r="C26" s="19"/>
      <c r="D26" s="23"/>
      <c r="E26" s="23"/>
      <c r="F26" s="43"/>
      <c r="G26" s="43"/>
      <c r="H26" s="51" t="s">
        <v>29</v>
      </c>
      <c r="I26" s="52"/>
      <c r="J26" s="52"/>
      <c r="K26" s="30" t="e">
        <f>AVERAGE(K16:K24)</f>
        <v>#DIV/0!</v>
      </c>
      <c r="L26" s="31" t="e">
        <f>AVERAGE(L16:L24)</f>
        <v>#DIV/0!</v>
      </c>
      <c r="M26" s="37"/>
      <c r="N26" s="11"/>
    </row>
    <row r="27" spans="2:18" x14ac:dyDescent="0.25">
      <c r="B27" s="11"/>
      <c r="C27" s="11"/>
      <c r="D27" s="12"/>
      <c r="E27" s="12"/>
      <c r="F27" s="41"/>
      <c r="G27" s="41"/>
      <c r="H27" s="32"/>
      <c r="I27" s="32"/>
      <c r="J27" s="32"/>
      <c r="K27" s="13"/>
      <c r="L27" s="14"/>
      <c r="M27" s="32"/>
      <c r="N27" s="11"/>
      <c r="P27" s="10"/>
    </row>
    <row r="28" spans="2:18" x14ac:dyDescent="0.25">
      <c r="B28" s="11"/>
      <c r="C28" s="11"/>
      <c r="D28" s="12"/>
      <c r="E28" s="12"/>
      <c r="F28" s="41"/>
      <c r="G28" s="41"/>
      <c r="H28" s="32"/>
      <c r="I28" s="32"/>
      <c r="J28" s="32"/>
      <c r="K28" s="13"/>
      <c r="L28" s="14"/>
      <c r="M28" s="32"/>
      <c r="N28" s="11"/>
    </row>
    <row r="29" spans="2:18" x14ac:dyDescent="0.25">
      <c r="B29" s="11"/>
      <c r="C29" s="11"/>
      <c r="D29" s="12"/>
      <c r="E29" s="12"/>
      <c r="F29" s="41"/>
      <c r="G29" s="41"/>
      <c r="H29" s="32"/>
      <c r="I29" s="32"/>
      <c r="J29" s="32"/>
      <c r="K29" s="13"/>
      <c r="L29" s="14"/>
      <c r="M29" s="32"/>
      <c r="N29" s="11"/>
    </row>
    <row r="30" spans="2:18" x14ac:dyDescent="0.25">
      <c r="B30" s="11"/>
      <c r="C30" s="11"/>
      <c r="D30" s="12"/>
      <c r="E30" s="12"/>
      <c r="F30" s="41"/>
      <c r="G30" s="41"/>
      <c r="H30" s="32"/>
      <c r="I30" s="32"/>
      <c r="J30" s="32"/>
      <c r="K30" s="13"/>
      <c r="L30" s="14"/>
      <c r="M30" s="32"/>
      <c r="N30" s="11"/>
    </row>
    <row r="31" spans="2:18" x14ac:dyDescent="0.25">
      <c r="B31" s="11"/>
      <c r="C31" s="11"/>
      <c r="D31" s="12"/>
      <c r="E31" s="12"/>
      <c r="F31" s="41"/>
      <c r="G31" s="41"/>
      <c r="H31" s="32"/>
      <c r="I31" s="32"/>
      <c r="J31" s="32"/>
      <c r="K31" s="13"/>
      <c r="L31" s="14"/>
      <c r="M31" s="32"/>
      <c r="N31" s="11"/>
    </row>
    <row r="32" spans="2:18" x14ac:dyDescent="0.25">
      <c r="B32" s="11"/>
      <c r="C32" s="11"/>
      <c r="D32" s="12"/>
      <c r="E32" s="12"/>
      <c r="F32" s="41"/>
      <c r="G32" s="41"/>
      <c r="H32" s="32"/>
      <c r="I32" s="32"/>
      <c r="J32" s="32"/>
      <c r="K32" s="13"/>
      <c r="L32" s="14"/>
      <c r="M32" s="32"/>
      <c r="N32" s="11"/>
    </row>
    <row r="33" spans="2:14" x14ac:dyDescent="0.25">
      <c r="B33" s="11"/>
      <c r="C33" s="11"/>
      <c r="D33" s="12"/>
      <c r="E33" s="12"/>
      <c r="F33" s="41"/>
      <c r="G33" s="41"/>
      <c r="H33" s="32"/>
      <c r="I33" s="32"/>
      <c r="J33" s="32"/>
      <c r="K33" s="13"/>
      <c r="L33" s="14"/>
      <c r="M33" s="32"/>
      <c r="N33" s="11"/>
    </row>
    <row r="34" spans="2:14" x14ac:dyDescent="0.25">
      <c r="B34" s="11"/>
      <c r="C34" s="11"/>
      <c r="D34" s="12"/>
      <c r="E34" s="12"/>
      <c r="F34" s="41"/>
      <c r="G34" s="41"/>
      <c r="H34" s="32"/>
      <c r="I34" s="32"/>
      <c r="J34" s="32"/>
      <c r="K34" s="13"/>
      <c r="L34" s="14"/>
      <c r="M34" s="32"/>
      <c r="N34" s="11"/>
    </row>
    <row r="35" spans="2:14" x14ac:dyDescent="0.25">
      <c r="B35" s="11"/>
      <c r="C35" s="11"/>
      <c r="D35" s="12"/>
      <c r="E35" s="12"/>
      <c r="F35" s="41"/>
      <c r="G35" s="41"/>
      <c r="H35" s="32"/>
      <c r="I35" s="32"/>
      <c r="J35" s="32"/>
      <c r="K35" s="13"/>
      <c r="L35" s="14"/>
      <c r="M35" s="32"/>
      <c r="N35" s="11"/>
    </row>
    <row r="36" spans="2:14" x14ac:dyDescent="0.25">
      <c r="B36" s="11"/>
      <c r="C36" s="11"/>
      <c r="D36" s="12"/>
      <c r="E36" s="12"/>
      <c r="F36" s="41"/>
      <c r="G36" s="41"/>
      <c r="H36" s="32"/>
      <c r="I36" s="32"/>
      <c r="J36" s="32"/>
      <c r="K36" s="13"/>
      <c r="L36" s="14"/>
      <c r="M36" s="32"/>
      <c r="N36" s="11"/>
    </row>
    <row r="37" spans="2:14" x14ac:dyDescent="0.25">
      <c r="B37" s="11"/>
      <c r="C37" s="11"/>
      <c r="D37" s="12"/>
      <c r="E37" s="12"/>
      <c r="F37" s="41"/>
      <c r="G37" s="41"/>
      <c r="H37" s="32"/>
      <c r="I37" s="32"/>
      <c r="J37" s="32"/>
      <c r="K37" s="13"/>
      <c r="L37" s="14"/>
      <c r="M37" s="32"/>
      <c r="N37" s="11"/>
    </row>
    <row r="38" spans="2:14" x14ac:dyDescent="0.25">
      <c r="B38" s="11"/>
      <c r="C38" s="11"/>
      <c r="D38" s="12"/>
      <c r="E38" s="12"/>
      <c r="F38" s="41"/>
      <c r="G38" s="41"/>
      <c r="H38" s="32"/>
      <c r="I38" s="32"/>
      <c r="J38" s="32"/>
      <c r="K38" s="13"/>
      <c r="L38" s="14"/>
      <c r="M38" s="32"/>
      <c r="N38" s="11"/>
    </row>
    <row r="39" spans="2:14" x14ac:dyDescent="0.25">
      <c r="B39" s="11"/>
      <c r="C39" s="11"/>
      <c r="D39" s="12"/>
      <c r="E39" s="12"/>
      <c r="F39" s="41"/>
      <c r="G39" s="41"/>
      <c r="H39" s="32"/>
      <c r="I39" s="32"/>
      <c r="J39" s="32"/>
      <c r="K39" s="13"/>
      <c r="L39" s="14"/>
      <c r="M39" s="32"/>
      <c r="N39" s="11"/>
    </row>
    <row r="40" spans="2:14" x14ac:dyDescent="0.25">
      <c r="B40" s="11"/>
      <c r="C40" s="11"/>
      <c r="D40" s="12"/>
      <c r="E40" s="12"/>
      <c r="F40" s="41"/>
      <c r="G40" s="41"/>
      <c r="H40" s="32"/>
      <c r="I40" s="32"/>
      <c r="J40" s="32"/>
      <c r="K40" s="13"/>
      <c r="L40" s="14"/>
      <c r="M40" s="32"/>
      <c r="N40" s="11"/>
    </row>
    <row r="41" spans="2:14" x14ac:dyDescent="0.25">
      <c r="B41" s="11"/>
      <c r="C41" s="11"/>
      <c r="D41" s="12"/>
      <c r="E41" s="12"/>
      <c r="F41" s="41"/>
      <c r="G41" s="41"/>
      <c r="H41" s="32"/>
      <c r="I41" s="32"/>
      <c r="J41" s="32"/>
      <c r="K41" s="13"/>
      <c r="L41" s="14"/>
      <c r="M41" s="32"/>
      <c r="N41" s="11"/>
    </row>
    <row r="42" spans="2:14" x14ac:dyDescent="0.25">
      <c r="B42" s="11"/>
      <c r="C42" s="11"/>
      <c r="D42" s="12"/>
      <c r="E42" s="12"/>
      <c r="F42" s="41"/>
      <c r="G42" s="41"/>
      <c r="H42" s="32"/>
      <c r="I42" s="32"/>
      <c r="J42" s="32"/>
      <c r="K42" s="13"/>
      <c r="L42" s="14"/>
      <c r="M42" s="32"/>
      <c r="N42" s="11"/>
    </row>
    <row r="43" spans="2:14" x14ac:dyDescent="0.25">
      <c r="B43" s="11"/>
      <c r="C43" s="11"/>
      <c r="D43" s="12"/>
      <c r="E43" s="12"/>
      <c r="F43" s="41"/>
      <c r="G43" s="41"/>
      <c r="H43" s="32"/>
      <c r="I43" s="32"/>
      <c r="J43" s="32"/>
      <c r="K43" s="13"/>
      <c r="L43" s="14"/>
      <c r="M43" s="32"/>
      <c r="N43" s="11"/>
    </row>
    <row r="44" spans="2:14" x14ac:dyDescent="0.25">
      <c r="B44" s="11"/>
      <c r="C44" s="11"/>
      <c r="D44" s="12"/>
      <c r="E44" s="12"/>
      <c r="F44" s="41"/>
      <c r="G44" s="41"/>
      <c r="H44" s="32"/>
      <c r="I44" s="32"/>
      <c r="J44" s="32"/>
      <c r="K44" s="13"/>
      <c r="L44" s="14"/>
      <c r="M44" s="32"/>
      <c r="N44" s="11"/>
    </row>
    <row r="45" spans="2:14" x14ac:dyDescent="0.25">
      <c r="B45" s="11"/>
      <c r="C45" s="11"/>
      <c r="D45" s="12"/>
      <c r="E45" s="12"/>
      <c r="F45" s="41"/>
      <c r="G45" s="41"/>
      <c r="H45" s="32"/>
      <c r="I45" s="32"/>
      <c r="J45" s="32"/>
      <c r="K45" s="13"/>
      <c r="L45" s="14"/>
      <c r="M45" s="32"/>
      <c r="N45" s="11"/>
    </row>
    <row r="46" spans="2:14" x14ac:dyDescent="0.25">
      <c r="B46" s="11"/>
      <c r="C46" s="11"/>
      <c r="D46" s="12"/>
      <c r="E46" s="12"/>
      <c r="F46" s="41"/>
      <c r="G46" s="41"/>
      <c r="H46" s="32"/>
      <c r="I46" s="32"/>
      <c r="J46" s="32"/>
      <c r="K46" s="13"/>
      <c r="L46" s="14"/>
      <c r="M46" s="32"/>
      <c r="N46" s="11"/>
    </row>
    <row r="47" spans="2:14" x14ac:dyDescent="0.25">
      <c r="B47" s="11"/>
      <c r="C47" s="11"/>
      <c r="D47" s="12"/>
      <c r="E47" s="12"/>
      <c r="F47" s="41"/>
      <c r="G47" s="41"/>
      <c r="H47" s="32"/>
      <c r="I47" s="32"/>
      <c r="J47" s="32"/>
      <c r="K47" s="13"/>
      <c r="L47" s="14"/>
      <c r="M47" s="32"/>
      <c r="N47" s="11"/>
    </row>
    <row r="52" spans="3:3" x14ac:dyDescent="0.25">
      <c r="C52" s="10"/>
    </row>
    <row r="53" spans="3:3" x14ac:dyDescent="0.25">
      <c r="C53" s="10"/>
    </row>
    <row r="54" spans="3:3" x14ac:dyDescent="0.25">
      <c r="C54" s="10"/>
    </row>
    <row r="55" spans="3:3" x14ac:dyDescent="0.25">
      <c r="C55" s="10"/>
    </row>
    <row r="56" spans="3:3" x14ac:dyDescent="0.25">
      <c r="C56" s="10"/>
    </row>
    <row r="57" spans="3:3" x14ac:dyDescent="0.25">
      <c r="C57" s="10"/>
    </row>
    <row r="58" spans="3:3" x14ac:dyDescent="0.25">
      <c r="C58" s="10"/>
    </row>
    <row r="59" spans="3:3" x14ac:dyDescent="0.25">
      <c r="C59" s="10"/>
    </row>
    <row r="60" spans="3:3" x14ac:dyDescent="0.25">
      <c r="C60" s="10"/>
    </row>
    <row r="61" spans="3:3" x14ac:dyDescent="0.25">
      <c r="C61" s="10"/>
    </row>
    <row r="62" spans="3:3" x14ac:dyDescent="0.25">
      <c r="C62" s="10"/>
    </row>
    <row r="63" spans="3:3" x14ac:dyDescent="0.25">
      <c r="C63" s="10"/>
    </row>
    <row r="64" spans="3:3" x14ac:dyDescent="0.25">
      <c r="C64" s="10"/>
    </row>
    <row r="65" spans="3:3" x14ac:dyDescent="0.25">
      <c r="C65" s="10"/>
    </row>
    <row r="66" spans="3:3" x14ac:dyDescent="0.25">
      <c r="C66" s="10"/>
    </row>
    <row r="67" spans="3:3" x14ac:dyDescent="0.25">
      <c r="C67" s="10"/>
    </row>
    <row r="68" spans="3:3" x14ac:dyDescent="0.25">
      <c r="C68" s="10"/>
    </row>
    <row r="69" spans="3:3" x14ac:dyDescent="0.25">
      <c r="C69" s="10"/>
    </row>
    <row r="70" spans="3:3" x14ac:dyDescent="0.25">
      <c r="C70" s="10"/>
    </row>
    <row r="71" spans="3:3" x14ac:dyDescent="0.25">
      <c r="C71" s="10"/>
    </row>
    <row r="72" spans="3:3" x14ac:dyDescent="0.25">
      <c r="C72" s="10"/>
    </row>
  </sheetData>
  <mergeCells count="8">
    <mergeCell ref="F12:G12"/>
    <mergeCell ref="F11:G11"/>
    <mergeCell ref="C12:C14"/>
    <mergeCell ref="H26:J26"/>
    <mergeCell ref="D11:E11"/>
    <mergeCell ref="D12:E12"/>
    <mergeCell ref="D13:E13"/>
    <mergeCell ref="F13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Bonham</dc:creator>
  <cp:lastModifiedBy>Adam Willis</cp:lastModifiedBy>
  <cp:lastPrinted>2026-08-14T14:36:50Z</cp:lastPrinted>
  <dcterms:created xsi:type="dcterms:W3CDTF">2026-06-19T09:53:07Z</dcterms:created>
  <dcterms:modified xsi:type="dcterms:W3CDTF">2026-10-15T09:22:16Z</dcterms:modified>
</cp:coreProperties>
</file>